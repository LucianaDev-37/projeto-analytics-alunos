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0A\EXCELCNV\250e5fdb-229d-4517-848c-1c4430efefec\"/>
    </mc:Choice>
  </mc:AlternateContent>
  <xr:revisionPtr revIDLastSave="0" documentId="8_{91405226-829E-4750-BBB9-3DC7FE1FE442}" xr6:coauthVersionLast="47" xr6:coauthVersionMax="47" xr10:uidLastSave="{00000000-0000-0000-0000-000000000000}"/>
  <bookViews>
    <workbookView xWindow="-60" yWindow="-60" windowWidth="15480" windowHeight="11640" firstSheet="1" activeTab="1" xr2:uid="{887F8EE2-787C-4D0D-B530-067755863A35}"/>
  </bookViews>
  <sheets>
    <sheet name="ALUNO" sheetId="1" r:id="rId1"/>
    <sheet name="TABELA " sheetId="2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F10" i="1"/>
  <c r="E10" i="1"/>
  <c r="D10" i="1"/>
  <c r="C10" i="1"/>
  <c r="F3" i="1"/>
  <c r="F4" i="1"/>
  <c r="F5" i="1"/>
  <c r="F6" i="1"/>
  <c r="F7" i="1"/>
  <c r="F8" i="1"/>
  <c r="F9" i="1"/>
  <c r="F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2" i="1" a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<sst xmlns="http://schemas.openxmlformats.org/spreadsheetml/2006/main" count="30" uniqueCount="23">
  <si>
    <t>ALUNO</t>
  </si>
  <si>
    <t>EVA1</t>
  </si>
  <si>
    <t>EVA2</t>
  </si>
  <si>
    <t>EVA3</t>
  </si>
  <si>
    <t>EVA4</t>
  </si>
  <si>
    <t>MÉDIA</t>
  </si>
  <si>
    <t>CLASSIFICAÇÃO</t>
  </si>
  <si>
    <t>NOTA</t>
  </si>
  <si>
    <t>AL001</t>
  </si>
  <si>
    <t>MUITO DEFICIENTE</t>
  </si>
  <si>
    <t>AL002</t>
  </si>
  <si>
    <t>INSUFICIENTE</t>
  </si>
  <si>
    <t>AL003</t>
  </si>
  <si>
    <t>SUFICIENTE</t>
  </si>
  <si>
    <t>AL004</t>
  </si>
  <si>
    <t>NOTÁVEL</t>
  </si>
  <si>
    <t>AL005</t>
  </si>
  <si>
    <t>EXCELENTE</t>
  </si>
  <si>
    <t>AL006</t>
  </si>
  <si>
    <t>AL007</t>
  </si>
  <si>
    <t>AL008</t>
  </si>
  <si>
    <t>Contagem de ALUNO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</si>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</sst>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pivotButton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[classificacao-de-alunos.xlsx]TABELA 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Alunos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'!$A$4:$A$9</c:f>
              <c:strCache>
                <c:ptCount val="5"/>
                <c:pt idx="0">
                  <c:v>EXCELENTE</c:v>
                </c:pt>
                <c:pt idx="1">
                  <c:v>INSUFICIENTE</c:v>
                </c:pt>
                <c:pt idx="2">
                  <c:v>MUITO DEFICIENTE</c:v>
                </c:pt>
                <c:pt idx="3">
                  <c:v>NOTÁVEL</c:v>
                </c:pt>
                <c:pt idx="4">
                  <c:v>SUFICIENTE</c:v>
                </c:pt>
              </c:strCache>
            </c:strRef>
          </c:cat>
          <c:val>
            <c:numRef>
              <c:f>'TABELA '!$B$4:$B$9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8-4C03-B2E6-653AF92732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4246920"/>
        <c:axId val="774250504"/>
      </c:barChart>
      <c:catAx>
        <c:axId val="774246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50504"/>
        <c:crosses val="autoZero"/>
        <c:auto val="1"/>
        <c:lblAlgn val="ctr"/>
        <c:lblOffset val="100"/>
        <c:noMultiLvlLbl val="0"/>
      </c:catAx>
      <c:valAx>
        <c:axId val="77425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4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28575</xdr:rowOff>
    </xdr:from>
    <xdr:to>
      <xdr:col>9</xdr:col>
      <xdr:colOff>9525</xdr:colOff>
      <xdr:row>15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80F911-BC33-71C9-6813-293CB9CAA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7.532942824073" createdVersion="8" refreshedVersion="8" minRefreshableVersion="3" recordCount="8" xr:uid="{A3B2E7E5-5375-416A-B829-9931DAF51F82}">
  <cacheSource type="worksheet">
    <worksheetSource ref="A1:G9" sheet="ALUNO"/>
  </cacheSource>
  <cacheFields count="7">
    <cacheField name="ALUNO" numFmtId="0">
      <sharedItems/>
    </cacheField>
    <cacheField name="EVA1" numFmtId="164">
      <sharedItems containsSemiMixedTypes="0" containsString="0" containsNumber="1" minValue="1.5" maxValue="10"/>
    </cacheField>
    <cacheField name="EVA2" numFmtId="164">
      <sharedItems containsSemiMixedTypes="0" containsString="0" containsNumber="1" minValue="2" maxValue="8"/>
    </cacheField>
    <cacheField name="EVA3" numFmtId="164">
      <sharedItems containsSemiMixedTypes="0" containsString="0" containsNumber="1" minValue="1" maxValue="8"/>
    </cacheField>
    <cacheField name="EVA4" numFmtId="164">
      <sharedItems containsSemiMixedTypes="0" containsString="0" containsNumber="1" minValue="1" maxValue="10"/>
    </cacheField>
    <cacheField name="MÉDIA" numFmtId="164">
      <sharedItems containsSemiMixedTypes="0" containsString="0" containsNumber="1" minValue="1.625" maxValue="8.5"/>
    </cacheField>
    <cacheField name="CLASSIFICAÇÃO" numFmtId="0">
      <sharedItems count="5">
        <s v="SUFICIENTE"/>
        <s v="NOTÁVEL"/>
        <s v="EXCELENTE"/>
        <s v="INSUFICIENTE"/>
        <s v="MUITO DEFICI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L001"/>
    <n v="2.5"/>
    <n v="5"/>
    <n v="7.5"/>
    <n v="4"/>
    <n v="4.75"/>
    <x v="0"/>
  </r>
  <r>
    <s v="AL002"/>
    <n v="6"/>
    <n v="8"/>
    <n v="7.5"/>
    <n v="9"/>
    <n v="7.625"/>
    <x v="1"/>
  </r>
  <r>
    <s v="AL003"/>
    <n v="10"/>
    <n v="8"/>
    <n v="6.5"/>
    <n v="9.5"/>
    <n v="8.5"/>
    <x v="2"/>
  </r>
  <r>
    <s v="AL004"/>
    <n v="1.5"/>
    <n v="2.5"/>
    <n v="3"/>
    <n v="6"/>
    <n v="3.25"/>
    <x v="3"/>
  </r>
  <r>
    <s v="AL005"/>
    <n v="8.5"/>
    <n v="5.5"/>
    <n v="6"/>
    <n v="7"/>
    <n v="6.75"/>
    <x v="1"/>
  </r>
  <r>
    <s v="AL006"/>
    <n v="3"/>
    <n v="2"/>
    <n v="1"/>
    <n v="1"/>
    <n v="1.75"/>
    <x v="4"/>
  </r>
  <r>
    <s v="AL007"/>
    <n v="5"/>
    <n v="6"/>
    <n v="8"/>
    <n v="10"/>
    <n v="7.25"/>
    <x v="1"/>
  </r>
  <r>
    <s v="AL008"/>
    <n v="1.5"/>
    <n v="2.5"/>
    <n v="1.5"/>
    <n v="1"/>
    <n v="1.62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0270C-ED0C-42B8-82BC-EE778597361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7"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Row" compact="0" outline="0" showAll="0">
      <items count="6">
        <item x="2"/>
        <item x="3"/>
        <item x="4"/>
        <item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ALUN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EF74-150C-46A9-9F22-453CCF4616D8}">
  <dimension ref="A1:J10"/>
  <sheetViews>
    <sheetView workbookViewId="0">
      <selection activeCell="I7" sqref="I7"/>
    </sheetView>
  </sheetViews>
  <sheetFormatPr defaultRowHeight="15"/>
  <cols>
    <col min="6" max="6" width="9.140625" customWidth="1"/>
    <col min="7" max="7" width="20.85546875" customWidth="1"/>
    <col min="9" max="9" width="18.140625" customWidth="1"/>
    <col min="10" max="10" width="13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6</v>
      </c>
      <c r="J1" t="s">
        <v>7</v>
      </c>
    </row>
    <row r="2" spans="1:10">
      <c r="A2" t="s">
        <v>8</v>
      </c>
      <c r="B2" s="1">
        <v>2.5</v>
      </c>
      <c r="C2" s="1">
        <v>5</v>
      </c>
      <c r="D2" s="1">
        <v>7.5</v>
      </c>
      <c r="E2" s="1">
        <v>4</v>
      </c>
      <c r="F2" s="1">
        <f>AVERAGE(B2:E2)</f>
        <v>4.75</v>
      </c>
      <c r="G2" t="str" cm="1">
        <f t="array" ref="G2">_xlfn.IFS(F2&gt;=8.5, "EXCELENTE", F2&gt;=6.5, "NOTÁVEL", F2&gt;=4.5, "SUFICIENTE", F2&gt;=2, "INSUFICIENTE", TRUE, "MUITO DEFICIENTE")</f>
        <v>SUFICIENTE</v>
      </c>
      <c r="I2" t="s">
        <v>9</v>
      </c>
      <c r="J2">
        <v>0</v>
      </c>
    </row>
    <row r="3" spans="1:10">
      <c r="A3" t="s">
        <v>10</v>
      </c>
      <c r="B3" s="1">
        <v>6</v>
      </c>
      <c r="C3" s="1">
        <v>8</v>
      </c>
      <c r="D3" s="1">
        <v>7.5</v>
      </c>
      <c r="E3" s="1">
        <v>9</v>
      </c>
      <c r="F3" s="1">
        <f t="shared" ref="F3:F9" si="0">AVERAGE(B3:E3)</f>
        <v>7.625</v>
      </c>
      <c r="G3" t="str" cm="1">
        <f t="array" ref="G3">_xlfn.IFS(F3&gt;=8.5, "EXCELENTE", F3&gt;=6.5, "NOTÁVEL", F3&gt;=4.5, "SUFICIENTE", F3&gt;=2, "INSUFICIENTE", TRUE, "MUITO DEFICIENTE")</f>
        <v>NOTÁVEL</v>
      </c>
      <c r="I3" t="s">
        <v>11</v>
      </c>
      <c r="J3">
        <v>2</v>
      </c>
    </row>
    <row r="4" spans="1:10">
      <c r="A4" t="s">
        <v>12</v>
      </c>
      <c r="B4" s="1">
        <v>10</v>
      </c>
      <c r="C4" s="1">
        <v>8</v>
      </c>
      <c r="D4" s="1">
        <v>6.5</v>
      </c>
      <c r="E4" s="1">
        <v>9.5</v>
      </c>
      <c r="F4" s="1">
        <f t="shared" si="0"/>
        <v>8.5</v>
      </c>
      <c r="G4" t="str" cm="1">
        <f t="array" ref="G4">_xlfn.IFS(F4&gt;=8.5, "EXCELENTE", F4&gt;=6.5, "NOTÁVEL", F4&gt;=4.5, "SUFICIENTE", F4&gt;=2, "INSUFICIENTE", TRUE, "MUITO DEFICIENTE")</f>
        <v>EXCELENTE</v>
      </c>
      <c r="I4" t="s">
        <v>13</v>
      </c>
      <c r="J4">
        <v>4.5</v>
      </c>
    </row>
    <row r="5" spans="1:10">
      <c r="A5" t="s">
        <v>14</v>
      </c>
      <c r="B5" s="1">
        <v>1.5</v>
      </c>
      <c r="C5" s="1">
        <v>2.5</v>
      </c>
      <c r="D5" s="1">
        <v>3</v>
      </c>
      <c r="E5" s="1">
        <v>6</v>
      </c>
      <c r="F5" s="1">
        <f t="shared" si="0"/>
        <v>3.25</v>
      </c>
      <c r="G5" t="str" cm="1">
        <f t="array" ref="G5">_xlfn.IFS(F5&gt;=8.5, "EXCELENTE", F5&gt;=6.5, "NOTÁVEL", F5&gt;=4.5, "SUFICIENTE", F5&gt;=2, "INSUFICIENTE", TRUE, "MUITO DEFICIENTE")</f>
        <v>INSUFICIENTE</v>
      </c>
      <c r="I5" t="s">
        <v>15</v>
      </c>
      <c r="J5">
        <v>6.5</v>
      </c>
    </row>
    <row r="6" spans="1:10">
      <c r="A6" t="s">
        <v>16</v>
      </c>
      <c r="B6" s="1">
        <v>8.5</v>
      </c>
      <c r="C6" s="1">
        <v>5.5</v>
      </c>
      <c r="D6" s="1">
        <v>6</v>
      </c>
      <c r="E6" s="1">
        <v>7</v>
      </c>
      <c r="F6" s="1">
        <f t="shared" si="0"/>
        <v>6.75</v>
      </c>
      <c r="G6" t="str" cm="1">
        <f t="array" ref="G6">_xlfn.IFS(F6&gt;=8.5, "EXCELENTE", F6&gt;=6.5, "NOTÁVEL", F6&gt;=4.5, "SUFICIENTE", F6&gt;=2, "INSUFICIENTE", TRUE, "MUITO DEFICIENTE")</f>
        <v>NOTÁVEL</v>
      </c>
      <c r="I6" t="s">
        <v>17</v>
      </c>
      <c r="J6">
        <v>8.5</v>
      </c>
    </row>
    <row r="7" spans="1:10">
      <c r="A7" t="s">
        <v>18</v>
      </c>
      <c r="B7" s="1">
        <v>3</v>
      </c>
      <c r="C7" s="1">
        <v>2</v>
      </c>
      <c r="D7" s="1">
        <v>1</v>
      </c>
      <c r="E7" s="1">
        <v>1</v>
      </c>
      <c r="F7" s="1">
        <f t="shared" si="0"/>
        <v>1.75</v>
      </c>
      <c r="G7" t="str" cm="1">
        <f t="array" ref="G7">_xlfn.IFS(F7&gt;=8.5, "EXCELENTE", F7&gt;=6.5, "NOTÁVEL", F7&gt;=4.5, "SUFICIENTE", F7&gt;=2, "INSUFICIENTE", TRUE, "MUITO DEFICIENTE")</f>
        <v>MUITO DEFICIENTE</v>
      </c>
    </row>
    <row r="8" spans="1:10">
      <c r="A8" t="s">
        <v>19</v>
      </c>
      <c r="B8" s="1">
        <v>5</v>
      </c>
      <c r="C8" s="1">
        <v>6</v>
      </c>
      <c r="D8" s="1">
        <v>8</v>
      </c>
      <c r="E8" s="1">
        <v>10</v>
      </c>
      <c r="F8" s="1">
        <f t="shared" si="0"/>
        <v>7.25</v>
      </c>
      <c r="G8" t="str" cm="1">
        <f t="array" ref="G8">_xlfn.IFS(F8&gt;=8.5, "EXCELENTE", F8&gt;=6.5, "NOTÁVEL", F8&gt;=4.5, "SUFICIENTE", F8&gt;=2, "INSUFICIENTE", TRUE, "MUITO DEFICIENTE")</f>
        <v>NOTÁVEL</v>
      </c>
    </row>
    <row r="9" spans="1:10">
      <c r="A9" t="s">
        <v>20</v>
      </c>
      <c r="B9" s="1">
        <v>1.5</v>
      </c>
      <c r="C9" s="1">
        <v>2.5</v>
      </c>
      <c r="D9" s="1">
        <v>1.5</v>
      </c>
      <c r="E9" s="1">
        <v>1</v>
      </c>
      <c r="F9" s="1">
        <f t="shared" si="0"/>
        <v>1.625</v>
      </c>
      <c r="G9" t="str" cm="1">
        <f t="array" ref="G9">_xlfn.IFS(F9&gt;=8.5, "EXCELENTE", F9&gt;=6.5, "NOTÁVEL", F9&gt;=4.5, "SUFICIENTE", F9&gt;=2, "INSUFICIENTE", TRUE, "MUITO DEFICIENTE")</f>
        <v>MUITO DEFICIENTE</v>
      </c>
    </row>
    <row r="10" spans="1:10">
      <c r="B10" s="1">
        <f>AVERAGE(B2:B9)</f>
        <v>4.75</v>
      </c>
      <c r="C10" s="1">
        <f t="shared" ref="C10:F10" si="1">AVERAGE(C2:C9)</f>
        <v>4.9375</v>
      </c>
      <c r="D10" s="1">
        <f t="shared" si="1"/>
        <v>5.125</v>
      </c>
      <c r="E10" s="1">
        <f t="shared" si="1"/>
        <v>5.9375</v>
      </c>
      <c r="F10" s="1">
        <f t="shared" si="1"/>
        <v>5.1875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FD97-1B09-40B3-9F65-1E03914E101E}">
  <dimension ref="A3:B9"/>
  <sheetViews>
    <sheetView tabSelected="1" workbookViewId="0">
      <selection activeCell="B11" sqref="B11"/>
    </sheetView>
  </sheetViews>
  <sheetFormatPr defaultRowHeight="15"/>
  <cols>
    <col min="1" max="1" width="18.28515625" bestFit="1" customWidth="1"/>
    <col min="2" max="2" width="20.140625" bestFit="1" customWidth="1"/>
  </cols>
  <sheetData>
    <row r="3" spans="1:2">
      <c r="A3" s="2" t="s">
        <v>6</v>
      </c>
      <c r="B3" t="s">
        <v>21</v>
      </c>
    </row>
    <row r="4" spans="1:2">
      <c r="A4" t="s">
        <v>17</v>
      </c>
      <c r="B4">
        <v>1</v>
      </c>
    </row>
    <row r="5" spans="1:2">
      <c r="A5" t="s">
        <v>11</v>
      </c>
      <c r="B5">
        <v>1</v>
      </c>
    </row>
    <row r="6" spans="1:2">
      <c r="A6" t="s">
        <v>9</v>
      </c>
      <c r="B6">
        <v>2</v>
      </c>
    </row>
    <row r="7" spans="1:2">
      <c r="A7" t="s">
        <v>15</v>
      </c>
      <c r="B7">
        <v>3</v>
      </c>
    </row>
    <row r="8" spans="1:2">
      <c r="A8" t="s">
        <v>13</v>
      </c>
      <c r="B8">
        <v>1</v>
      </c>
    </row>
    <row r="9" spans="1:2">
      <c r="A9" t="s">
        <v>22</v>
      </c>
      <c r="B9">
        <v>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2026-08-13T14:55:09Z</dcterms:created>
  <dcterms:modified xsi:type="dcterms:W3CDTF">2026-08-16T16:57:43Z</dcterms:modified>
  <cp:category/>
  <cp:contentStatus/>
</cp:coreProperties>
</file>